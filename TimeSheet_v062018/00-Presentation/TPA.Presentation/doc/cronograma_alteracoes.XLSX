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ontamentos\Branches\camadas\00-Presentation\TPA.Presentation\doc\"/>
    </mc:Choice>
  </mc:AlternateContent>
  <bookViews>
    <workbookView xWindow="0" yWindow="0" windowWidth="10284" windowHeight="5724" activeTab="1"/>
  </bookViews>
  <sheets>
    <sheet name="cronograma_primeira_fase" sheetId="1" r:id="rId1"/>
    <sheet name="cronograma_segunda_fase" sheetId="2" r:id="rId2"/>
  </sheets>
  <definedNames>
    <definedName name="_xlnm._FilterDatabase" localSheetId="1" hidden="1">cronograma_segunda_fase!$A$1:$I$1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" l="1"/>
  <c r="E9" i="2"/>
  <c r="E11" i="2"/>
  <c r="E13" i="2"/>
  <c r="E14" i="2"/>
  <c r="E15" i="2"/>
  <c r="E16" i="2"/>
  <c r="E17" i="2"/>
  <c r="E18" i="2"/>
  <c r="E19" i="2"/>
  <c r="E20" i="2"/>
  <c r="E12" i="2"/>
  <c r="E3" i="2"/>
  <c r="E4" i="2"/>
  <c r="E5" i="2"/>
  <c r="E7" i="2"/>
  <c r="E6" i="2"/>
  <c r="E8" i="2" l="1"/>
  <c r="E2" i="2"/>
  <c r="E21" i="2" l="1"/>
</calcChain>
</file>

<file path=xl/sharedStrings.xml><?xml version="1.0" encoding="utf-8"?>
<sst xmlns="http://schemas.openxmlformats.org/spreadsheetml/2006/main" count="50" uniqueCount="39">
  <si>
    <t>Descrição</t>
  </si>
  <si>
    <t>Inicio Estimado</t>
  </si>
  <si>
    <t>Fim Estimado</t>
  </si>
  <si>
    <t>Inicio Real</t>
  </si>
  <si>
    <t>Fim Real</t>
  </si>
  <si>
    <t>alteração das imagens</t>
  </si>
  <si>
    <t>correção do calculo das horas previstas do mês</t>
  </si>
  <si>
    <t>correção do bug de criação / renomeação de nó de projeto</t>
  </si>
  <si>
    <t>alterar a tela de atividade para voltar para ela mesma (em branco) com mensagem de sucesso para adicionar outro registro</t>
  </si>
  <si>
    <t>deixar disponível somente para administradores alterarem lançamentos</t>
  </si>
  <si>
    <t>alterar o cálculo do saldo do mês para contemplar somente os dias lançados</t>
  </si>
  <si>
    <t>Mostrar path completo do projeto na página de atividades</t>
  </si>
  <si>
    <t>selecionar várias pessoas na página de atividades / busca</t>
  </si>
  <si>
    <t>selecionar varias pessoas na página de fechamento</t>
  </si>
  <si>
    <t>deixar invisíveis os nós de projeto que o usuário não tem acesso</t>
  </si>
  <si>
    <t>classificar e drag &amp; drop do cadastro de projetos</t>
  </si>
  <si>
    <t>Modulo</t>
  </si>
  <si>
    <t>Prioridade</t>
  </si>
  <si>
    <t>Complexidade</t>
  </si>
  <si>
    <t>Horas Estimadas</t>
  </si>
  <si>
    <t>Relatorios</t>
  </si>
  <si>
    <t xml:space="preserve">Relatorios em excel consolidado por cliente, com as colunas de número/hora formatadas como número/hora </t>
  </si>
  <si>
    <t>Consolidado por analista</t>
  </si>
  <si>
    <t>Relatórios em excel, detalhado/analítico (dados brutos), com as colunas de número/hora formatadas como número/hora, com separação dos rótulos de cliente/projeto/fase etc</t>
  </si>
  <si>
    <t>Relatórios</t>
  </si>
  <si>
    <t>Reproduzir planilha de relatórios enviada pelo Jefferson</t>
  </si>
  <si>
    <t>Início Estimado</t>
  </si>
  <si>
    <t>Início Real</t>
  </si>
  <si>
    <t>tela de lançamentos multiplos para o usuário -  lançar duas ou maisatividades na mesma tela pra facilitar</t>
  </si>
  <si>
    <t>criar importação de planilha com múltiplos usuário - colocando o e-mail do usuário na primeira coluna</t>
  </si>
  <si>
    <t>Atividades</t>
  </si>
  <si>
    <t>Estrutura/Projetos</t>
  </si>
  <si>
    <t>Fechamento</t>
  </si>
  <si>
    <t>No lançamento em lote, permitir que seja lançado intervalo de um único dia com data final &gt;= a data inicial</t>
  </si>
  <si>
    <t>Verificar o porquê quando fazemos um lançamento retroativo o cálculo das horas extras não é recalculado. Interessante criar um botão de recalculo sem fechar as horas.</t>
  </si>
  <si>
    <t>Ao excluir a atividade ou ao clicar no botão “voltar a lista” todo o filtro feito é removido, o que dificulta no caso de lançamentos errados que tenham que ser feito correções em lote.</t>
  </si>
  <si>
    <t>Quando eu faço um filtro por usuário e clico no editar, abre a tela de fechamento do mês, porém tanto para salvar quanto para “voltar à lista” ele zera o meu filtro tornando o processo não muito simples.</t>
  </si>
  <si>
    <t>Exclusão de lançamentos em lote</t>
  </si>
  <si>
    <t>Permitir salvar a hora quebrada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</si>
</sst>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C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/>
    <xf numFmtId="14" fontId="0" fillId="2" borderId="1" xfId="0" applyNumberFormat="1" applyFill="1" applyBorder="1"/>
    <xf numFmtId="0" fontId="0" fillId="3" borderId="2" xfId="0" applyFill="1" applyBorder="1"/>
    <xf numFmtId="14" fontId="0" fillId="3" borderId="1" xfId="0" applyNumberFormat="1" applyFill="1" applyBorder="1"/>
    <xf numFmtId="14" fontId="0" fillId="2" borderId="3" xfId="0" applyNumberFormat="1" applyFill="1" applyBorder="1"/>
    <xf numFmtId="14" fontId="0" fillId="3" borderId="3" xfId="0" applyNumberFormat="1" applyFill="1" applyBorder="1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3" borderId="4" xfId="0" applyFill="1" applyBorder="1"/>
    <xf numFmtId="14" fontId="0" fillId="3" borderId="5" xfId="0" applyNumberFormat="1" applyFill="1" applyBorder="1"/>
    <xf numFmtId="14" fontId="0" fillId="3" borderId="6" xfId="0" applyNumberFormat="1" applyFill="1" applyBorder="1"/>
    <xf numFmtId="0" fontId="0" fillId="2" borderId="7" xfId="0" applyFill="1" applyBorder="1"/>
    <xf numFmtId="14" fontId="0" fillId="2" borderId="8" xfId="0" applyNumberFormat="1" applyFill="1" applyBorder="1"/>
    <xf numFmtId="14" fontId="0" fillId="2" borderId="9" xfId="0" applyNumberFormat="1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4" borderId="2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3" fillId="5" borderId="10" xfId="0" applyFont="1" applyFill="1" applyBorder="1" applyAlignment="1">
      <alignment wrapText="1"/>
    </xf>
    <xf numFmtId="0" fontId="3" fillId="5" borderId="11" xfId="0" applyFont="1" applyFill="1" applyBorder="1"/>
    <xf numFmtId="0" fontId="3" fillId="5" borderId="11" xfId="0" applyFont="1" applyFill="1" applyBorder="1" applyAlignment="1">
      <alignment wrapText="1"/>
    </xf>
    <xf numFmtId="0" fontId="3" fillId="5" borderId="12" xfId="0" applyFont="1" applyFill="1" applyBorder="1"/>
    <xf numFmtId="0" fontId="0" fillId="0" borderId="0" xfId="0"/>
    <xf numFmtId="0" fontId="0" fillId="0" borderId="0" xfId="0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4" borderId="1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14" fontId="0" fillId="4" borderId="1" xfId="0" applyNumberFormat="1" applyFill="1" applyBorder="1" applyAlignment="1">
      <alignment vertical="center"/>
    </xf>
    <xf numFmtId="0" fontId="2" fillId="4" borderId="1" xfId="0" applyFont="1" applyFill="1" applyBorder="1" applyAlignment="1">
      <alignment wrapText="1"/>
    </xf>
    <xf numFmtId="14" fontId="0" fillId="4" borderId="1" xfId="0" applyNumberFormat="1" applyFill="1" applyBorder="1"/>
    <xf numFmtId="14" fontId="0" fillId="4" borderId="3" xfId="0" applyNumberFormat="1" applyFill="1" applyBorder="1" applyAlignment="1">
      <alignment vertical="center"/>
    </xf>
    <xf numFmtId="14" fontId="0" fillId="4" borderId="3" xfId="0" applyNumberFormat="1" applyFill="1" applyBorder="1"/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" sqref="A1:E1"/>
    </sheetView>
  </sheetViews>
  <sheetFormatPr defaultRowHeight="14.4" x14ac:dyDescent="0.3"/>
  <cols>
    <col min="1" max="1" width="115.88671875" bestFit="1" customWidth="1"/>
    <col min="2" max="2" width="13.5546875" bestFit="1" customWidth="1"/>
    <col min="3" max="3" width="11.88671875" bestFit="1" customWidth="1"/>
    <col min="4" max="5" width="10.5546875" bestFit="1" customWidth="1"/>
  </cols>
  <sheetData>
    <row r="1" spans="1:5" ht="15" thickBot="1" x14ac:dyDescent="0.35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</row>
    <row r="2" spans="1:5" x14ac:dyDescent="0.3">
      <c r="A2" s="19" t="s">
        <v>5</v>
      </c>
      <c r="B2" s="20">
        <v>42907</v>
      </c>
      <c r="C2" s="20">
        <v>42907</v>
      </c>
      <c r="D2" s="20">
        <v>42907</v>
      </c>
      <c r="E2" s="21">
        <v>42907</v>
      </c>
    </row>
    <row r="3" spans="1:5" x14ac:dyDescent="0.3">
      <c r="A3" s="5" t="s">
        <v>6</v>
      </c>
      <c r="B3" s="6">
        <v>42907</v>
      </c>
      <c r="C3" s="6">
        <v>42907</v>
      </c>
      <c r="D3" s="6">
        <v>42907</v>
      </c>
      <c r="E3" s="9">
        <v>42907</v>
      </c>
    </row>
    <row r="4" spans="1:5" x14ac:dyDescent="0.3">
      <c r="A4" s="5" t="s">
        <v>7</v>
      </c>
      <c r="B4" s="6">
        <v>42908</v>
      </c>
      <c r="C4" s="6">
        <v>42908</v>
      </c>
      <c r="D4" s="6">
        <v>42910</v>
      </c>
      <c r="E4" s="9">
        <v>42910</v>
      </c>
    </row>
    <row r="5" spans="1:5" x14ac:dyDescent="0.3">
      <c r="A5" s="5" t="s">
        <v>8</v>
      </c>
      <c r="B5" s="6">
        <v>42909</v>
      </c>
      <c r="C5" s="6">
        <v>42909</v>
      </c>
      <c r="D5" s="6">
        <v>42910</v>
      </c>
      <c r="E5" s="9">
        <v>42910</v>
      </c>
    </row>
    <row r="6" spans="1:5" x14ac:dyDescent="0.3">
      <c r="A6" s="5" t="s">
        <v>14</v>
      </c>
      <c r="B6" s="6">
        <v>42910</v>
      </c>
      <c r="C6" s="6">
        <v>42910</v>
      </c>
      <c r="D6" s="6">
        <v>42910</v>
      </c>
      <c r="E6" s="9">
        <v>42910</v>
      </c>
    </row>
    <row r="7" spans="1:5" x14ac:dyDescent="0.3">
      <c r="A7" s="5" t="s">
        <v>9</v>
      </c>
      <c r="B7" s="6">
        <v>42907</v>
      </c>
      <c r="C7" s="6">
        <v>42907</v>
      </c>
      <c r="D7" s="6">
        <v>42910</v>
      </c>
      <c r="E7" s="9">
        <v>42910</v>
      </c>
    </row>
    <row r="8" spans="1:5" x14ac:dyDescent="0.3">
      <c r="A8" s="7" t="s">
        <v>10</v>
      </c>
      <c r="B8" s="8">
        <v>42910</v>
      </c>
      <c r="C8" s="8">
        <v>42910</v>
      </c>
      <c r="D8" s="8">
        <v>42910</v>
      </c>
      <c r="E8" s="10">
        <v>42910</v>
      </c>
    </row>
    <row r="9" spans="1:5" x14ac:dyDescent="0.3">
      <c r="A9" s="7" t="s">
        <v>11</v>
      </c>
      <c r="B9" s="8">
        <v>42910</v>
      </c>
      <c r="C9" s="8">
        <v>42910</v>
      </c>
      <c r="D9" s="8">
        <v>42916</v>
      </c>
      <c r="E9" s="10">
        <v>42916</v>
      </c>
    </row>
    <row r="10" spans="1:5" x14ac:dyDescent="0.3">
      <c r="A10" s="7" t="s">
        <v>13</v>
      </c>
      <c r="B10" s="8">
        <v>42910</v>
      </c>
      <c r="C10" s="8">
        <v>42910</v>
      </c>
      <c r="D10" s="8">
        <v>42917</v>
      </c>
      <c r="E10" s="10">
        <v>42917</v>
      </c>
    </row>
    <row r="11" spans="1:5" ht="15" thickBot="1" x14ac:dyDescent="0.35">
      <c r="A11" s="16" t="s">
        <v>12</v>
      </c>
      <c r="B11" s="17">
        <v>42910</v>
      </c>
      <c r="C11" s="17">
        <v>42910</v>
      </c>
      <c r="D11" s="17">
        <v>42917</v>
      </c>
      <c r="E11" s="18">
        <v>42917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C8" sqref="C8"/>
    </sheetView>
  </sheetViews>
  <sheetFormatPr defaultRowHeight="14.4" x14ac:dyDescent="0.3"/>
  <cols>
    <col min="1" max="1" width="12.44140625" style="11" bestFit="1" customWidth="1"/>
    <col min="2" max="2" width="11.88671875" bestFit="1" customWidth="1"/>
    <col min="3" max="3" width="53.77734375" style="11" bestFit="1" customWidth="1"/>
    <col min="4" max="4" width="15.33203125" bestFit="1" customWidth="1"/>
    <col min="5" max="5" width="17" bestFit="1" customWidth="1"/>
    <col min="6" max="6" width="16.109375" bestFit="1" customWidth="1"/>
    <col min="7" max="7" width="14.44140625" bestFit="1" customWidth="1"/>
    <col min="8" max="8" width="11.77734375" bestFit="1" customWidth="1"/>
    <col min="9" max="9" width="10.5546875" bestFit="1" customWidth="1"/>
  </cols>
  <sheetData>
    <row r="1" spans="1:9" ht="15" thickBot="1" x14ac:dyDescent="0.35">
      <c r="A1" s="28" t="s">
        <v>16</v>
      </c>
      <c r="B1" s="29" t="s">
        <v>17</v>
      </c>
      <c r="C1" s="30" t="s">
        <v>0</v>
      </c>
      <c r="D1" s="29" t="s">
        <v>18</v>
      </c>
      <c r="E1" s="29" t="s">
        <v>19</v>
      </c>
      <c r="F1" s="29" t="s">
        <v>26</v>
      </c>
      <c r="G1" s="29" t="s">
        <v>2</v>
      </c>
      <c r="H1" s="29" t="s">
        <v>27</v>
      </c>
      <c r="I1" s="31" t="s">
        <v>4</v>
      </c>
    </row>
    <row r="2" spans="1:9" s="32" customFormat="1" ht="43.2" x14ac:dyDescent="0.3">
      <c r="A2" s="25" t="s">
        <v>20</v>
      </c>
      <c r="B2" s="26">
        <v>102</v>
      </c>
      <c r="C2" s="27" t="s">
        <v>23</v>
      </c>
      <c r="D2" s="26">
        <v>13</v>
      </c>
      <c r="E2" s="26">
        <f t="shared" ref="E2:E20" si="0">_xlfn.CEILING.MATH(D2/0.81,8)</f>
        <v>24</v>
      </c>
      <c r="F2" s="26"/>
      <c r="G2" s="26"/>
      <c r="H2" s="42">
        <v>43052</v>
      </c>
      <c r="I2" s="44">
        <v>43060</v>
      </c>
    </row>
    <row r="3" spans="1:9" ht="28.8" x14ac:dyDescent="0.3">
      <c r="A3" s="25" t="s">
        <v>20</v>
      </c>
      <c r="B3" s="26">
        <v>102</v>
      </c>
      <c r="C3" s="27" t="s">
        <v>21</v>
      </c>
      <c r="D3" s="26">
        <v>8</v>
      </c>
      <c r="E3" s="26">
        <f t="shared" si="0"/>
        <v>16</v>
      </c>
      <c r="F3" s="26"/>
      <c r="G3" s="26"/>
      <c r="H3" s="42">
        <v>43052</v>
      </c>
      <c r="I3" s="44">
        <v>43060</v>
      </c>
    </row>
    <row r="4" spans="1:9" x14ac:dyDescent="0.3">
      <c r="A4" s="25" t="s">
        <v>20</v>
      </c>
      <c r="B4" s="26">
        <v>102</v>
      </c>
      <c r="C4" s="27" t="s">
        <v>22</v>
      </c>
      <c r="D4" s="26">
        <v>8</v>
      </c>
      <c r="E4" s="26">
        <f t="shared" si="0"/>
        <v>16</v>
      </c>
      <c r="F4" s="26"/>
      <c r="G4" s="26"/>
      <c r="H4" s="42">
        <v>43052</v>
      </c>
      <c r="I4" s="44">
        <v>43060</v>
      </c>
    </row>
    <row r="5" spans="1:9" x14ac:dyDescent="0.3">
      <c r="A5" s="25" t="s">
        <v>24</v>
      </c>
      <c r="B5" s="26">
        <v>102</v>
      </c>
      <c r="C5" s="27" t="s">
        <v>25</v>
      </c>
      <c r="D5" s="26">
        <v>13</v>
      </c>
      <c r="E5" s="26">
        <f t="shared" si="0"/>
        <v>24</v>
      </c>
      <c r="F5" s="26"/>
      <c r="G5" s="26"/>
      <c r="H5" s="42">
        <v>43052</v>
      </c>
      <c r="I5" s="44">
        <v>43060</v>
      </c>
    </row>
    <row r="6" spans="1:9" x14ac:dyDescent="0.3">
      <c r="A6" s="25" t="s">
        <v>30</v>
      </c>
      <c r="B6" s="26">
        <v>101</v>
      </c>
      <c r="C6" s="45" t="s">
        <v>37</v>
      </c>
      <c r="D6" s="26">
        <v>5</v>
      </c>
      <c r="E6" s="26">
        <f t="shared" si="0"/>
        <v>8</v>
      </c>
      <c r="F6" s="26"/>
      <c r="G6" s="26"/>
      <c r="H6" s="42">
        <v>42946</v>
      </c>
      <c r="I6" s="44">
        <v>42947</v>
      </c>
    </row>
    <row r="7" spans="1:9" ht="28.8" x14ac:dyDescent="0.3">
      <c r="A7" s="25" t="s">
        <v>30</v>
      </c>
      <c r="B7" s="26">
        <v>99</v>
      </c>
      <c r="C7" s="27" t="s">
        <v>29</v>
      </c>
      <c r="D7" s="26">
        <v>5</v>
      </c>
      <c r="E7" s="26">
        <f t="shared" si="0"/>
        <v>8</v>
      </c>
      <c r="F7" s="26"/>
      <c r="G7" s="26"/>
      <c r="H7" s="42">
        <v>43033</v>
      </c>
      <c r="I7" s="44">
        <v>43033</v>
      </c>
    </row>
    <row r="8" spans="1:9" ht="57.6" x14ac:dyDescent="0.3">
      <c r="A8" s="25" t="s">
        <v>30</v>
      </c>
      <c r="B8" s="26">
        <v>97</v>
      </c>
      <c r="C8" s="45" t="s">
        <v>35</v>
      </c>
      <c r="D8" s="38">
        <v>2</v>
      </c>
      <c r="E8" s="39">
        <f t="shared" si="0"/>
        <v>8</v>
      </c>
      <c r="F8" s="38"/>
      <c r="G8" s="38"/>
      <c r="H8" s="40">
        <v>42963</v>
      </c>
      <c r="I8" s="43">
        <v>42963</v>
      </c>
    </row>
    <row r="9" spans="1:9" ht="57.6" x14ac:dyDescent="0.3">
      <c r="A9" s="25" t="s">
        <v>32</v>
      </c>
      <c r="B9" s="26">
        <v>96</v>
      </c>
      <c r="C9" s="45" t="s">
        <v>36</v>
      </c>
      <c r="D9" s="38">
        <v>2</v>
      </c>
      <c r="E9" s="39">
        <f t="shared" si="0"/>
        <v>8</v>
      </c>
      <c r="F9" s="38"/>
      <c r="G9" s="38"/>
      <c r="H9" s="40">
        <v>43028</v>
      </c>
      <c r="I9" s="43">
        <v>43028</v>
      </c>
    </row>
    <row r="10" spans="1:9" s="33" customFormat="1" x14ac:dyDescent="0.3">
      <c r="A10" s="25" t="s">
        <v>32</v>
      </c>
      <c r="B10" s="26">
        <v>95</v>
      </c>
      <c r="C10" s="45" t="s">
        <v>38</v>
      </c>
      <c r="D10" s="38">
        <v>1</v>
      </c>
      <c r="E10" s="39">
        <f t="shared" si="0"/>
        <v>8</v>
      </c>
      <c r="F10" s="40">
        <v>42926</v>
      </c>
      <c r="G10" s="40">
        <v>42926</v>
      </c>
      <c r="H10" s="40">
        <v>42926</v>
      </c>
      <c r="I10" s="43">
        <v>42926</v>
      </c>
    </row>
    <row r="11" spans="1:9" ht="28.8" x14ac:dyDescent="0.3">
      <c r="A11" s="25" t="s">
        <v>30</v>
      </c>
      <c r="B11" s="26">
        <v>95</v>
      </c>
      <c r="C11" s="27" t="s">
        <v>33</v>
      </c>
      <c r="D11" s="38">
        <v>2</v>
      </c>
      <c r="E11" s="39">
        <f t="shared" si="0"/>
        <v>8</v>
      </c>
      <c r="F11" s="40">
        <v>42926</v>
      </c>
      <c r="G11" s="40">
        <v>42926</v>
      </c>
      <c r="H11" s="40">
        <v>42926</v>
      </c>
      <c r="I11" s="43">
        <v>42926</v>
      </c>
    </row>
    <row r="12" spans="1:9" ht="43.2" x14ac:dyDescent="0.3">
      <c r="A12" s="25" t="s">
        <v>32</v>
      </c>
      <c r="B12" s="26">
        <v>94</v>
      </c>
      <c r="C12" s="41" t="s">
        <v>34</v>
      </c>
      <c r="D12" s="26">
        <v>5</v>
      </c>
      <c r="E12" s="26">
        <f t="shared" si="0"/>
        <v>8</v>
      </c>
      <c r="F12" s="42">
        <v>42919</v>
      </c>
      <c r="G12" s="42">
        <v>42919</v>
      </c>
      <c r="H12" s="42">
        <v>42919</v>
      </c>
      <c r="I12" s="44">
        <v>42919</v>
      </c>
    </row>
    <row r="13" spans="1:9" ht="28.8" x14ac:dyDescent="0.3">
      <c r="A13" s="25" t="s">
        <v>30</v>
      </c>
      <c r="B13" s="26">
        <v>2</v>
      </c>
      <c r="C13" s="27" t="s">
        <v>28</v>
      </c>
      <c r="D13" s="26">
        <v>5</v>
      </c>
      <c r="E13" s="26">
        <f t="shared" si="0"/>
        <v>8</v>
      </c>
      <c r="F13" s="26"/>
      <c r="G13" s="26"/>
      <c r="H13" s="42">
        <v>43024</v>
      </c>
      <c r="I13" s="44">
        <v>43024</v>
      </c>
    </row>
    <row r="14" spans="1:9" ht="28.8" x14ac:dyDescent="0.3">
      <c r="A14" s="12" t="s">
        <v>31</v>
      </c>
      <c r="B14" s="1">
        <v>1</v>
      </c>
      <c r="C14" s="14" t="s">
        <v>15</v>
      </c>
      <c r="D14" s="1">
        <v>20</v>
      </c>
      <c r="E14" s="1">
        <f t="shared" si="0"/>
        <v>32</v>
      </c>
      <c r="F14" s="1"/>
      <c r="G14" s="1"/>
      <c r="H14" s="1"/>
      <c r="I14" s="2"/>
    </row>
    <row r="15" spans="1:9" x14ac:dyDescent="0.3">
      <c r="A15" s="12"/>
      <c r="B15" s="1"/>
      <c r="C15" s="14"/>
      <c r="D15" s="1"/>
      <c r="E15" s="1">
        <f t="shared" si="0"/>
        <v>0</v>
      </c>
      <c r="F15" s="1"/>
      <c r="G15" s="1"/>
      <c r="H15" s="1"/>
      <c r="I15" s="2"/>
    </row>
    <row r="16" spans="1:9" x14ac:dyDescent="0.3">
      <c r="A16" s="12"/>
      <c r="B16" s="1"/>
      <c r="C16" s="14"/>
      <c r="D16" s="1"/>
      <c r="E16" s="1">
        <f t="shared" si="0"/>
        <v>0</v>
      </c>
      <c r="F16" s="1"/>
      <c r="G16" s="1"/>
      <c r="H16" s="1"/>
      <c r="I16" s="2"/>
    </row>
    <row r="17" spans="1:9" x14ac:dyDescent="0.3">
      <c r="A17" s="12"/>
      <c r="B17" s="1"/>
      <c r="C17" s="14"/>
      <c r="D17" s="1"/>
      <c r="E17" s="1">
        <f t="shared" si="0"/>
        <v>0</v>
      </c>
      <c r="F17" s="1"/>
      <c r="G17" s="1"/>
      <c r="H17" s="1"/>
      <c r="I17" s="2"/>
    </row>
    <row r="18" spans="1:9" x14ac:dyDescent="0.3">
      <c r="A18" s="12"/>
      <c r="B18" s="1"/>
      <c r="C18" s="14"/>
      <c r="D18" s="1"/>
      <c r="E18" s="1">
        <f t="shared" si="0"/>
        <v>0</v>
      </c>
      <c r="F18" s="1"/>
      <c r="G18" s="1"/>
      <c r="H18" s="1"/>
      <c r="I18" s="2"/>
    </row>
    <row r="19" spans="1:9" x14ac:dyDescent="0.3">
      <c r="A19" s="12"/>
      <c r="B19" s="1"/>
      <c r="C19" s="14"/>
      <c r="D19" s="1"/>
      <c r="E19" s="1">
        <f t="shared" si="0"/>
        <v>0</v>
      </c>
      <c r="F19" s="1"/>
      <c r="G19" s="1"/>
      <c r="H19" s="1"/>
      <c r="I19" s="2"/>
    </row>
    <row r="20" spans="1:9" ht="15" thickBot="1" x14ac:dyDescent="0.35">
      <c r="A20" s="13"/>
      <c r="B20" s="3"/>
      <c r="C20" s="15"/>
      <c r="D20" s="3"/>
      <c r="E20" s="3">
        <f t="shared" si="0"/>
        <v>0</v>
      </c>
      <c r="F20" s="3"/>
      <c r="G20" s="3"/>
      <c r="H20" s="3"/>
      <c r="I20" s="4"/>
    </row>
    <row r="21" spans="1:9" ht="15" thickBot="1" x14ac:dyDescent="0.35">
      <c r="A21" s="34"/>
      <c r="B21" s="35"/>
      <c r="C21" s="36"/>
      <c r="D21" s="35"/>
      <c r="E21" s="35">
        <f>SUM(E2:E20)</f>
        <v>176</v>
      </c>
      <c r="F21" s="35"/>
      <c r="G21" s="35"/>
      <c r="H21" s="35"/>
      <c r="I21" s="37"/>
    </row>
  </sheetData>
  <autoFilter ref="A1:I1">
    <sortState ref="A2:I21">
      <sortCondition descending="1" ref="B1"/>
    </sortState>
  </autoFilter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cronograma_primeira_fase</vt:lpstr>
      <vt:lpstr>cronograma_segunda_fase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rubio</dc:creator>
  <cp:lastModifiedBy>vitor rubio</cp:lastModifiedBy>
  <dcterms:created xsi:type="dcterms:W3CDTF">2017-06-21T02:55:11Z</dcterms:created>
  <dcterms:modified xsi:type="dcterms:W3CDTF">2017-11-21T18:01:33Z</dcterms:modified>
</cp:coreProperties>
</file>